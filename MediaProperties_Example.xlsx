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ang\Desktop\video_file_manage_assist\"/>
    </mc:Choice>
  </mc:AlternateContent>
  <xr:revisionPtr revIDLastSave="0" documentId="13_ncr:1_{036878D8-3C34-4DD4-8FD2-B1C2D7414ED5}" xr6:coauthVersionLast="47" xr6:coauthVersionMax="47" xr10:uidLastSave="{00000000-0000-0000-0000-000000000000}"/>
  <bookViews>
    <workbookView xWindow="-120" yWindow="-120" windowWidth="29040" windowHeight="15720" xr2:uid="{1B9B2DC5-8D7F-45AF-A69A-8F97ED0B06AA}"/>
  </bookViews>
  <sheets>
    <sheet name="20260912_45631_MediaProperties" sheetId="1" r:id="rId1"/>
  </sheets>
  <calcPr calcId="181029"/>
</workbook>
</file>

<file path=xl/calcChain.xml><?xml version="1.0" encoding="utf-8"?>
<calcChain xmlns="http://schemas.openxmlformats.org/spreadsheetml/2006/main">
  <c r="F4" i="1" l="1"/>
  <c r="F3" i="1"/>
  <c r="F2" i="1"/>
  <c r="E3" i="1"/>
  <c r="E2" i="1"/>
</calcChain>
</file>

<file path=xl/sharedStrings.xml><?xml version="1.0" encoding="utf-8"?>
<sst xmlns="http://schemas.openxmlformats.org/spreadsheetml/2006/main" count="25" uniqueCount="23">
  <si>
    <t>File_Name</t>
  </si>
  <si>
    <t>File_Path</t>
  </si>
  <si>
    <t>Good_Estimate</t>
  </si>
  <si>
    <t>Runtime_Seconds</t>
  </si>
  <si>
    <t>Runtime_HH:MM:SS</t>
  </si>
  <si>
    <t>New_File_Path</t>
  </si>
  <si>
    <t>abc.mkv</t>
  </si>
  <si>
    <t>def.mkv</t>
  </si>
  <si>
    <t>ghj.mkv</t>
  </si>
  <si>
    <t>C:/Users/my_Username/Desktop/dir1\abc.mkv</t>
  </si>
  <si>
    <t>C:/Users/my_Username/Desktop/dir2\def.mkv</t>
  </si>
  <si>
    <t>C:/Users/my_Username/Desktop/dir3\ghj.mkv</t>
  </si>
  <si>
    <t>C:/Users/my_Username/Desktop/dir3/</t>
  </si>
  <si>
    <t>New_Base_dir</t>
  </si>
  <si>
    <t>IMDB_ID</t>
  </si>
  <si>
    <t>Media_Name</t>
  </si>
  <si>
    <t>Movie 1</t>
  </si>
  <si>
    <t>Funny Commedy</t>
  </si>
  <si>
    <t>tt0066773</t>
  </si>
  <si>
    <t>tt0066782</t>
  </si>
  <si>
    <t>tt0066711</t>
  </si>
  <si>
    <t>Year</t>
  </si>
  <si>
    <t>Movie 2 - The Movening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</si>
</sst>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FFCE-C3F8-49B6-86D0-08FA309E104A}">
  <dimension ref="A1:J4"/>
  <sheetViews>
    <sheetView tabSelected="1" workbookViewId="0">
      <selection activeCell="D9" sqref="D9"/>
    </sheetView>
  </sheetViews>
  <sheetFormatPr defaultRowHeight="15" x14ac:dyDescent="0.25"/>
  <cols>
    <col min="1" max="1" width="10.5703125" bestFit="1" customWidth="1"/>
    <col min="2" max="2" width="43.7109375" bestFit="1" customWidth="1"/>
    <col min="4" max="4" width="17" bestFit="1" customWidth="1"/>
    <col min="5" max="5" width="19" bestFit="1" customWidth="1"/>
    <col min="6" max="6" width="109" customWidth="1"/>
    <col min="7" max="7" width="38.5703125" bestFit="1" customWidth="1"/>
    <col min="8" max="9" width="12.140625" customWidth="1"/>
    <col min="10" max="10" width="27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14</v>
      </c>
      <c r="I1" t="s">
        <v>21</v>
      </c>
      <c r="J1" t="s">
        <v>15</v>
      </c>
    </row>
    <row r="2" spans="1:10" x14ac:dyDescent="0.25">
      <c r="A2" t="s">
        <v>6</v>
      </c>
      <c r="B2" t="s">
        <v>9</v>
      </c>
      <c r="C2" t="b">
        <v>1</v>
      </c>
      <c r="D2">
        <v>10224</v>
      </c>
      <c r="E2" t="str">
        <f>INT(D2/3600)&amp;":"&amp;INT(((D2/3600)-INT(D2/3600))*60)&amp;":"&amp;ROUND((((D2/3600)-INT(D2/3600))*60 - INT(((D2/3600)-INT(D2/3600))*60))*60,0)</f>
        <v>2:50:24</v>
      </c>
      <c r="F2" t="str">
        <f>G2&amp;J2&amp;" ("&amp;I2&amp;") [imdbid-"&amp;H2&amp;"]/"&amp;J2&amp;" ("&amp;I2&amp;")"&amp;RIGHT(A2,4)</f>
        <v>C:/Users/my_Username/Desktop/dir3/Movie 1 (1963) [imdbid-tt0066773]/Movie 1 (1963).mkv</v>
      </c>
      <c r="G2" t="s">
        <v>12</v>
      </c>
      <c r="H2" t="s">
        <v>18</v>
      </c>
      <c r="I2">
        <v>1963</v>
      </c>
      <c r="J2" t="s">
        <v>16</v>
      </c>
    </row>
    <row r="3" spans="1:10" x14ac:dyDescent="0.25">
      <c r="A3" t="s">
        <v>7</v>
      </c>
      <c r="B3" t="s">
        <v>10</v>
      </c>
      <c r="C3" t="b">
        <v>1</v>
      </c>
      <c r="D3">
        <v>6055</v>
      </c>
      <c r="E3" t="str">
        <f t="shared" ref="E3" si="0">INT(D3/3600)&amp;":"&amp;INT(((D3/3600)-INT(D3/3600))*60)&amp;":"&amp;ROUND((((D3/3600)-INT(D3/3600))*60 - INT(((D3/3600)-INT(D3/3600))*60))*60,0)</f>
        <v>1:40:55</v>
      </c>
      <c r="F3" t="str">
        <f t="shared" ref="F3:F4" si="1">G3&amp;J3&amp;" ("&amp;I3&amp;") [imdbid-"&amp;H3&amp;"]/"&amp;J3&amp;" ("&amp;I3&amp;")"&amp;RIGHT(A3,4)</f>
        <v>C:/Users/my_Username/Desktop/dir3/Movie 2 - The Movening (1964) [imdbid-tt0066782]/Movie 2 - The Movening (1964).mkv</v>
      </c>
      <c r="G3" t="s">
        <v>12</v>
      </c>
      <c r="H3" t="s">
        <v>19</v>
      </c>
      <c r="I3">
        <v>1964</v>
      </c>
      <c r="J3" t="s">
        <v>22</v>
      </c>
    </row>
    <row r="4" spans="1:10" x14ac:dyDescent="0.25">
      <c r="A4" t="s">
        <v>8</v>
      </c>
      <c r="B4" t="s">
        <v>11</v>
      </c>
      <c r="C4" t="b">
        <v>0</v>
      </c>
      <c r="F4" t="str">
        <f t="shared" si="1"/>
        <v>C:/Users/my_Username/Desktop/dir3/Funny Commedy (2020) [imdbid-tt0066711]/Funny Commedy (2020).mkv</v>
      </c>
      <c r="G4" t="s">
        <v>12</v>
      </c>
      <c r="H4" t="s">
        <v>20</v>
      </c>
      <c r="I4">
        <v>2020</v>
      </c>
      <c r="J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20260912_45631_MediaProperties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 Langholz</cp:lastModifiedBy>
  <dcterms:created xsi:type="dcterms:W3CDTF">2026-09-12T17:10:08Z</dcterms:created>
  <dcterms:modified xsi:type="dcterms:W3CDTF">2026-09-12T17:20:52Z</dcterms:modified>
</cp:coreProperties>
</file>